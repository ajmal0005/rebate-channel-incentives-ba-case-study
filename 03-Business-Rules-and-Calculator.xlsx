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Rules" sheetId="1" state="visible" r:id="rId3"/>
    <sheet name="Rebate 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<sst xmlns="http://schemas.openxmlformats.org/spreadsheetml/2006/main" count="50" uniqueCount="48">
  <si>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Coastal Building Supplies — Rebate Business Rules</t>
  </si>
  <si>
    <t xml:space="preserve">Reference tables implementing BR-01 to BR-05 (see Business Requirements Document)</t>
  </si>
  <si>
    <t xml:space="preserve">1. Volume Tier Table (applies to Net Eligible Purchase Value)</t>
  </si>
  <si>
    <t xml:space="preserve">Tier</t>
  </si>
  <si>
    <t xml:space="preserve">Purchase Range (Quarterly, Net Eligible ₹)</t>
  </si>
  <si>
    <t xml:space="preserve">Rebate %</t>
  </si>
  <si>
    <t xml:space="preserve">Tier 1</t>
  </si>
  <si>
    <t xml:space="preserve">₹0 – ₹500,000</t>
  </si>
  <si>
    <t xml:space="preserve">Tier 2</t>
  </si>
  <si>
    <t xml:space="preserve">₹500,001 – ₹1,000,000</t>
  </si>
  <si>
    <t xml:space="preserve">Tier 3</t>
  </si>
  <si>
    <t xml:space="preserve">Above ₹1,000,000</t>
  </si>
  <si>
    <t xml:space="preserve">2. Growth Bonus Rule</t>
  </si>
  <si>
    <t xml:space="preserve">Condition</t>
  </si>
  <si>
    <t xml:space="preserve">Bonus %</t>
  </si>
  <si>
    <t xml:space="preserve">YoY Growth &gt; 15% (vs. same quarter, prior year)</t>
  </si>
  <si>
    <t xml:space="preserve">Note: distributors with no prior-year data are not eligible for Growth Bonus (flagged, not defaulted) — see FR-08.</t>
  </si>
  <si>
    <t xml:space="preserve">3. Exclusions from Net Eligible Purchase Value</t>
  </si>
  <si>
    <t xml:space="preserve">Category</t>
  </si>
  <si>
    <t xml:space="preserve">Eligible for Rebate?</t>
  </si>
  <si>
    <t xml:space="preserve">Standard purchase (delivered, kept)</t>
  </si>
  <si>
    <t xml:space="preserve">Yes</t>
  </si>
  <si>
    <t xml:space="preserve">Returned goods</t>
  </si>
  <si>
    <t xml:space="preserve">No</t>
  </si>
  <si>
    <t xml:space="preserve">Cancelled orders</t>
  </si>
  <si>
    <t xml:space="preserve">Damaged / written-off goods</t>
  </si>
  <si>
    <t xml:space="preserve">Legend: yellow cells are the editable business-rule inputs (tier %, bonus %). Everything on the 'Rebate Calculator' tab references these cells — change them here, not on the calculator tab.</t>
  </si>
  <si>
    <t xml:space="preserve">Q1 FY26 Distributor Rebate Calculator</t>
  </si>
  <si>
    <t xml:space="preserve">Live formulas — implements FR-01 through FR-09. Edit only the yellow input cells.</t>
  </si>
  <si>
    <t xml:space="preserve">Distributor</t>
  </si>
  <si>
    <t xml:space="preserve">Gross Purchase (₹)</t>
  </si>
  <si>
    <t xml:space="preserve">Returns (₹)</t>
  </si>
  <si>
    <t xml:space="preserve">Cancelled (₹)</t>
  </si>
  <si>
    <t xml:space="preserve">Damaged (₹)</t>
  </si>
  <si>
    <t xml:space="preserve">Net Eligible Purchase (₹)</t>
  </si>
  <si>
    <t xml:space="preserve">Prior Year Same Qtr (₹)</t>
  </si>
  <si>
    <t xml:space="preserve">YoY Growth %</t>
  </si>
  <si>
    <t xml:space="preserve">Tier %</t>
  </si>
  <si>
    <t xml:space="preserve">Growth Bonus %</t>
  </si>
  <si>
    <t xml:space="preserve">Total Rebate %</t>
  </si>
  <si>
    <t xml:space="preserve">Rebate Amount (₹)</t>
  </si>
  <si>
    <t xml:space="preserve">ABC Traders</t>
  </si>
  <si>
    <t xml:space="preserve">BuildMart</t>
  </si>
  <si>
    <t xml:space="preserve">Prime Hardware</t>
  </si>
  <si>
    <t xml:space="preserve">Metro Distributors</t>
  </si>
  <si>
    <t xml:space="preserve">TOTAL</t>
  </si>
  <si>
    <t xml:space="preserve">Yellow cells = editable inputs. All other cells are live formulas that recalculate automatically (FR-01–FR-09).</t>
  </si>
  <si>
    <t xml:space="preserve">Note: Prior Year = 0 is treated as "no prior data" per FR-08, not silently defaulted to 0% growth.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</si>
</sst>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2"/>
    <col collapsed="false" customWidth="true" hidden="false" outlineLevel="0" max="5" min="4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5" t="s">
        <v>6</v>
      </c>
      <c r="C7" s="5" t="s">
        <v>7</v>
      </c>
      <c r="D7" s="6" t="n">
        <v>0.01</v>
      </c>
    </row>
    <row r="8" customFormat="false" ht="15" hidden="false" customHeight="false" outlineLevel="0" collapsed="false">
      <c r="B8" s="5" t="s">
        <v>8</v>
      </c>
      <c r="C8" s="5" t="s">
        <v>9</v>
      </c>
      <c r="D8" s="6" t="n">
        <v>0.02</v>
      </c>
    </row>
    <row r="9" customFormat="false" ht="15" hidden="false" customHeight="false" outlineLevel="0" collapsed="false">
      <c r="B9" s="5" t="s">
        <v>10</v>
      </c>
      <c r="C9" s="5" t="s">
        <v>11</v>
      </c>
      <c r="D9" s="6" t="n">
        <v>0.03</v>
      </c>
    </row>
    <row r="11" customFormat="false" ht="15" hidden="false" customHeight="false" outlineLevel="0" collapsed="false">
      <c r="B11" s="3" t="s">
        <v>12</v>
      </c>
    </row>
    <row r="12" customFormat="false" ht="15" hidden="false" customHeight="false" outlineLevel="0" collapsed="false">
      <c r="B12" s="7" t="s">
        <v>13</v>
      </c>
      <c r="C12" s="7" t="s">
        <v>14</v>
      </c>
    </row>
    <row r="13" customFormat="false" ht="15" hidden="false" customHeight="false" outlineLevel="0" collapsed="false">
      <c r="B13" s="5" t="s">
        <v>15</v>
      </c>
      <c r="C13" s="6" t="n">
        <v>0.005</v>
      </c>
    </row>
    <row r="14" customFormat="false" ht="15" hidden="false" customHeight="false" outlineLevel="0" collapsed="false">
      <c r="B14" s="8" t="s">
        <v>16</v>
      </c>
    </row>
    <row r="16" customFormat="false" ht="15" hidden="false" customHeight="false" outlineLevel="0" collapsed="false">
      <c r="B16" s="3" t="s">
        <v>17</v>
      </c>
    </row>
    <row r="17" customFormat="false" ht="15" hidden="false" customHeight="false" outlineLevel="0" collapsed="false">
      <c r="B17" s="7" t="s">
        <v>18</v>
      </c>
      <c r="C17" s="7" t="s">
        <v>19</v>
      </c>
    </row>
    <row r="18" customFormat="false" ht="15" hidden="false" customHeight="false" outlineLevel="0" collapsed="false">
      <c r="B18" s="5" t="s">
        <v>20</v>
      </c>
      <c r="C18" s="9" t="s">
        <v>21</v>
      </c>
    </row>
    <row r="19" customFormat="false" ht="15" hidden="false" customHeight="false" outlineLevel="0" collapsed="false">
      <c r="B19" s="5" t="s">
        <v>22</v>
      </c>
      <c r="C19" s="9" t="s">
        <v>23</v>
      </c>
    </row>
    <row r="20" customFormat="false" ht="15" hidden="false" customHeight="false" outlineLevel="0" collapsed="false">
      <c r="B20" s="5" t="s">
        <v>24</v>
      </c>
      <c r="C20" s="9" t="s">
        <v>23</v>
      </c>
    </row>
    <row r="21" customFormat="false" ht="15" hidden="false" customHeight="false" outlineLevel="0" collapsed="false">
      <c r="B21" s="5" t="s">
        <v>25</v>
      </c>
      <c r="C21" s="9" t="s">
        <v>23</v>
      </c>
    </row>
    <row r="23" customFormat="false" ht="15" hidden="false" customHeight="true" outlineLevel="0" collapsed="false">
      <c r="B23" s="10" t="s">
        <v>26</v>
      </c>
      <c r="C23" s="10"/>
      <c r="D23" s="10"/>
      <c r="E23" s="10"/>
    </row>
    <row r="24" customFormat="false" ht="15" hidden="false" customHeight="false" outlineLevel="0" collapsed="false">
      <c r="B24" s="10"/>
      <c r="C24" s="10"/>
      <c r="D24" s="10"/>
      <c r="E24" s="10"/>
    </row>
    <row r="25" customFormat="false" ht="15" hidden="false" customHeight="false" outlineLevel="0" collapsed="false">
      <c r="B25" s="10"/>
      <c r="C25" s="10"/>
      <c r="D25" s="10"/>
      <c r="E25" s="10"/>
    </row>
  </sheetData>
  <mergeCells count="1">
    <mergeCell ref="B23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5"/>
  </cols>
  <sheetData>
    <row r="2" customFormat="false" ht="17.35" hidden="false" customHeight="false" outlineLevel="0" collapsed="false">
      <c r="B2" s="1" t="s">
        <v>27</v>
      </c>
    </row>
    <row r="3" customFormat="false" ht="15" hidden="false" customHeight="false" outlineLevel="0" collapsed="false">
      <c r="B3" s="2" t="s">
        <v>28</v>
      </c>
    </row>
    <row r="5" customFormat="false" ht="33.75" hidden="false" customHeight="true" outlineLevel="0" collapsed="false">
      <c r="B5" s="11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  <c r="J5" s="11" t="s">
        <v>37</v>
      </c>
      <c r="K5" s="11" t="s">
        <v>38</v>
      </c>
      <c r="L5" s="11" t="s">
        <v>39</v>
      </c>
      <c r="M5" s="11" t="s">
        <v>40</v>
      </c>
    </row>
    <row r="6" customFormat="false" ht="15" hidden="false" customHeight="false" outlineLevel="0" collapsed="false">
      <c r="B6" s="5" t="s">
        <v>41</v>
      </c>
      <c r="C6" s="12" t="n">
        <v>620000</v>
      </c>
      <c r="D6" s="12" t="n">
        <v>20000</v>
      </c>
      <c r="E6" s="12" t="n">
        <v>0</v>
      </c>
      <c r="F6" s="12" t="n">
        <v>5000</v>
      </c>
      <c r="G6" s="13" t="n">
        <f aca="false">C6-D6-E6-F6</f>
        <v>595000</v>
      </c>
      <c r="H6" s="12" t="n">
        <v>500000</v>
      </c>
      <c r="I6" s="14" t="n">
        <f aca="false">IF(H6=0,"N/A - No Prior Data",(G6-H6)/H6)</f>
        <v>0.19</v>
      </c>
      <c r="J6" s="14" t="n">
        <f aca="false">IF(G6&lt;=500000,'Tier Rules'!$D$7,IF(G6&lt;=1000000,'Tier Rules'!$D$8,'Tier Rules'!$D$9))</f>
        <v>0.02</v>
      </c>
      <c r="K6" s="14" t="n">
        <f aca="false">IF(H6=0,"N/A",IF(I6&gt;0.15,'Tier Rules'!$C$13,0))</f>
        <v>0.005</v>
      </c>
      <c r="L6" s="14" t="n">
        <f aca="false">J6+IF(ISNUMBER(K6),K6,0)</f>
        <v>0.025</v>
      </c>
      <c r="M6" s="15" t="n">
        <f aca="false">G6*L6</f>
        <v>14875</v>
      </c>
    </row>
    <row r="7" customFormat="false" ht="15" hidden="false" customHeight="false" outlineLevel="0" collapsed="false">
      <c r="B7" s="5" t="s">
        <v>42</v>
      </c>
      <c r="C7" s="12" t="n">
        <v>1150000</v>
      </c>
      <c r="D7" s="12" t="n">
        <v>30000</v>
      </c>
      <c r="E7" s="12" t="n">
        <v>10000</v>
      </c>
      <c r="F7" s="12" t="n">
        <v>0</v>
      </c>
      <c r="G7" s="13" t="n">
        <f aca="false">C7-D7-E7-F7</f>
        <v>1110000</v>
      </c>
      <c r="H7" s="12" t="n">
        <v>1300000</v>
      </c>
      <c r="I7" s="14" t="n">
        <f aca="false">IF(H7=0,"N/A - No Prior Data",(G7-H7)/H7)</f>
        <v>-0.146153846153846</v>
      </c>
      <c r="J7" s="14" t="n">
        <f aca="false">IF(G7&lt;=500000,'Tier Rules'!$D$7,IF(G7&lt;=1000000,'Tier Rules'!$D$8,'Tier Rules'!$D$9))</f>
        <v>0.03</v>
      </c>
      <c r="K7" s="14" t="n">
        <f aca="false">IF(H7=0,"N/A",IF(I7&gt;0.15,'Tier Rules'!$C$13,0))</f>
        <v>0</v>
      </c>
      <c r="L7" s="14" t="n">
        <f aca="false">J7+IF(ISNUMBER(K7),K7,0)</f>
        <v>0.03</v>
      </c>
      <c r="M7" s="15" t="n">
        <f aca="false">G7*L7</f>
        <v>33300</v>
      </c>
    </row>
    <row r="8" customFormat="false" ht="15" hidden="false" customHeight="false" outlineLevel="0" collapsed="false">
      <c r="B8" s="5" t="s">
        <v>43</v>
      </c>
      <c r="C8" s="12" t="n">
        <v>480000</v>
      </c>
      <c r="D8" s="12" t="n">
        <v>5000</v>
      </c>
      <c r="E8" s="12" t="n">
        <v>0</v>
      </c>
      <c r="F8" s="12" t="n">
        <v>0</v>
      </c>
      <c r="G8" s="13" t="n">
        <f aca="false">C8-D8-E8-F8</f>
        <v>475000</v>
      </c>
      <c r="H8" s="12" t="n">
        <v>460000</v>
      </c>
      <c r="I8" s="14" t="n">
        <f aca="false">IF(H8=0,"N/A - No Prior Data",(G8-H8)/H8)</f>
        <v>0.0326086956521739</v>
      </c>
      <c r="J8" s="14" t="n">
        <f aca="false">IF(G8&lt;=500000,'Tier Rules'!$D$7,IF(G8&lt;=1000000,'Tier Rules'!$D$8,'Tier Rules'!$D$9))</f>
        <v>0.01</v>
      </c>
      <c r="K8" s="14" t="n">
        <f aca="false">IF(H8=0,"N/A",IF(I8&gt;0.15,'Tier Rules'!$C$13,0))</f>
        <v>0</v>
      </c>
      <c r="L8" s="14" t="n">
        <f aca="false">J8+IF(ISNUMBER(K8),K8,0)</f>
        <v>0.01</v>
      </c>
      <c r="M8" s="15" t="n">
        <f aca="false">G8*L8</f>
        <v>4750</v>
      </c>
    </row>
    <row r="9" customFormat="false" ht="15" hidden="false" customHeight="false" outlineLevel="0" collapsed="false">
      <c r="B9" s="5" t="s">
        <v>44</v>
      </c>
      <c r="C9" s="12" t="n">
        <v>720000</v>
      </c>
      <c r="D9" s="12" t="n">
        <v>10000</v>
      </c>
      <c r="E9" s="12" t="n">
        <v>0</v>
      </c>
      <c r="F9" s="12" t="n">
        <v>0</v>
      </c>
      <c r="G9" s="13" t="n">
        <f aca="false">C9-D9-E9-F9</f>
        <v>710000</v>
      </c>
      <c r="H9" s="12" t="n">
        <v>560000</v>
      </c>
      <c r="I9" s="14" t="n">
        <f aca="false">IF(H9=0,"N/A - No Prior Data",(G9-H9)/H9)</f>
        <v>0.267857142857143</v>
      </c>
      <c r="J9" s="14" t="n">
        <f aca="false">IF(G9&lt;=500000,'Tier Rules'!$D$7,IF(G9&lt;=1000000,'Tier Rules'!$D$8,'Tier Rules'!$D$9))</f>
        <v>0.02</v>
      </c>
      <c r="K9" s="14" t="n">
        <f aca="false">IF(H9=0,"N/A",IF(I9&gt;0.15,'Tier Rules'!$C$13,0))</f>
        <v>0.005</v>
      </c>
      <c r="L9" s="14" t="n">
        <f aca="false">J9+IF(ISNUMBER(K9),K9,0)</f>
        <v>0.025</v>
      </c>
      <c r="M9" s="15" t="n">
        <f aca="false">G9*L9</f>
        <v>17750</v>
      </c>
    </row>
    <row r="10" customFormat="false" ht="15" hidden="false" customHeight="false" outlineLevel="0" collapsed="false">
      <c r="B10" s="3" t="s">
        <v>45</v>
      </c>
      <c r="C10" s="15" t="n">
        <f aca="false">SUM(C6:C9)</f>
        <v>2970000</v>
      </c>
      <c r="D10" s="15" t="n">
        <f aca="false">SUM(D6:D9)</f>
        <v>65000</v>
      </c>
      <c r="E10" s="15" t="n">
        <f aca="false">SUM(E6:E9)</f>
        <v>10000</v>
      </c>
      <c r="F10" s="15" t="n">
        <f aca="false">SUM(F6:F9)</f>
        <v>5000</v>
      </c>
      <c r="G10" s="15" t="n">
        <f aca="false">SUM(G6:G9)</f>
        <v>2890000</v>
      </c>
      <c r="M10" s="15" t="n">
        <f aca="false">SUM(M6:M9)</f>
        <v>70675</v>
      </c>
    </row>
    <row r="12" customFormat="false" ht="15" hidden="false" customHeight="false" outlineLevel="0" collapsed="false">
      <c r="B12" s="8" t="s">
        <v>46</v>
      </c>
    </row>
    <row r="13" customFormat="false" ht="15" hidden="false" customHeight="false" outlineLevel="0" collapsed="false">
      <c r="B13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2026-07-12T11:52:56Z</dcterms:created>
  <dc:creator>openpyxl</dc:creator>
  <dc:description/>
  <dc:language>en-US</dc:language>
  <cp:lastModifiedBy/>
  <dcterms:modified xsi:type="dcterms:W3CDTF">2026-07-12T11:52:56Z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