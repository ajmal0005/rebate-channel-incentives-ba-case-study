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<sst xmlns="http://schemas.openxmlformats.org/spreadsheetml/2006/main" count="57" uniqueCount="57">
  <si>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UAT Test Cases — Distributor Rebate Calculation</t>
  </si>
  <si>
    <t xml:space="preserve">Validates the rebate calculation logic (see Business Requirements Document, FR-01 to FR-09) against expected outcomes.</t>
  </si>
  <si>
    <t xml:space="preserve">Test ID</t>
  </si>
  <si>
    <t xml:space="preserve">Scenario Description</t>
  </si>
  <si>
    <t xml:space="preserve">Gross Purchase (₹)</t>
  </si>
  <si>
    <t xml:space="preserve">Returns (₹)</t>
  </si>
  <si>
    <t xml:space="preserve">Cancelled (₹)</t>
  </si>
  <si>
    <t xml:space="preserve">Damaged (₹)</t>
  </si>
  <si>
    <t xml:space="preserve">Net Eligible (₹)</t>
  </si>
  <si>
    <t xml:space="preserve">Prior Year (₹)</t>
  </si>
  <si>
    <t xml:space="preserve">Expected Tier %</t>
  </si>
  <si>
    <t xml:space="preserve">Expected Rebate Amt (₹)</t>
  </si>
  <si>
    <t xml:space="preserve">Actual Tier % (calc)</t>
  </si>
  <si>
    <t xml:space="preserve">Actual Rebate Amt (calc)</t>
  </si>
  <si>
    <t xml:space="preserve">Result</t>
  </si>
  <si>
    <t xml:space="preserve">Notes</t>
  </si>
  <si>
    <t xml:space="preserve">UAT-01</t>
  </si>
  <si>
    <t xml:space="preserve">Standard Tier 1 purchase, no exclusions, no growth</t>
  </si>
  <si>
    <t xml:space="preserve">Basic happy path — confirms Tier 1 boundary works correctly</t>
  </si>
  <si>
    <t xml:space="preserve">UAT-02</t>
  </si>
  <si>
    <t xml:space="preserve">Exactly at Tier 1/Tier 2 boundary (₹500,000)</t>
  </si>
  <si>
    <t xml:space="preserve">Edge case — boundary must round DOWN into Tier 1, not up into Tier 2 (BR tier ranges are inclusive of lower bound)</t>
  </si>
  <si>
    <t xml:space="preserve">UAT-03</t>
  </si>
  <si>
    <t xml:space="preserve">₹1 above Tier 1/2 boundary (₹500,001)</t>
  </si>
  <si>
    <t xml:space="preserve">Edge case — confirms the boundary flips correctly one rupee above the threshold</t>
  </si>
  <si>
    <t xml:space="preserve">UAT-04</t>
  </si>
  <si>
    <t xml:space="preserve">Exactly at Tier 2/Tier 3 boundary (₹1,000,000)</t>
  </si>
  <si>
    <t xml:space="preserve">Edge case — must stay in Tier 2, not jump to Tier 3</t>
  </si>
  <si>
    <t xml:space="preserve">UAT-05</t>
  </si>
  <si>
    <t xml:space="preserve">Well above Tier 3 threshold</t>
  </si>
  <si>
    <t xml:space="preserve">Basic happy path — confirms top tier calculates correctly</t>
  </si>
  <si>
    <t xml:space="preserve">UAT-06</t>
  </si>
  <si>
    <t xml:space="preserve">Purchase with a return that changes tier outcome</t>
  </si>
  <si>
    <t xml:space="preserve">Tests FR-02 — gross value alone would be Tier 2, but net eligible after return drops it to Tier 1</t>
  </si>
  <si>
    <t xml:space="preserve">UAT-07</t>
  </si>
  <si>
    <t xml:space="preserve">Purchase with a cancelled order excluded</t>
  </si>
  <si>
    <t xml:space="preserve">Tests FR-03 — cancellation must reduce net eligible value, not just be a side note</t>
  </si>
  <si>
    <t xml:space="preserve">UAT-08</t>
  </si>
  <si>
    <t xml:space="preserve">Purchase with damaged goods excluded</t>
  </si>
  <si>
    <t xml:space="preserve">Tests FR-04 — damaged goods exclusion</t>
  </si>
  <si>
    <t xml:space="preserve">UAT-09</t>
  </si>
  <si>
    <t xml:space="preserve">Distributor grows &gt;15% YoY — Growth Bonus should apply</t>
  </si>
  <si>
    <t xml:space="preserve">Growth = (700000-550000)/550000 = 27.3% &gt; 15%, so Expected = Tier 2 (2%) + Growth Bonus (0.5%) = 2.5%. DESIGNED FAILURE: the tier-only calc engine under test does not yet apply the Growth Bonus rule (FR-07) — escalate to dev team, do not close as expected behavior.</t>
  </si>
  <si>
    <t xml:space="preserve">UAT-10</t>
  </si>
  <si>
    <t xml:space="preserve">Distributor grows exactly 15% YoY (boundary — should NOT qualify)</t>
  </si>
  <si>
    <t xml:space="preserve">Edge case — rule is '&gt;15%', so exactly 15.0% growth must NOT receive the bonus</t>
  </si>
  <si>
    <t xml:space="preserve">UAT-11</t>
  </si>
  <si>
    <t xml:space="preserve">Distributor with declining purchases YoY (no bonus, still gets tier)</t>
  </si>
  <si>
    <t xml:space="preserve">Confirms a shrinking distributor still gets their normal tier rebate, just no growth bonus</t>
  </si>
  <si>
    <t xml:space="preserve">UAT-12</t>
  </si>
  <si>
    <t xml:space="preserve">New distributor, no prior-year data</t>
  </si>
  <si>
    <t xml:space="preserve">Tests FR-08 — must be flagged as N/A for growth, not silently treated as 0% or 100%+ growth</t>
  </si>
  <si>
    <t xml:space="preserve">UAT-13</t>
  </si>
  <si>
    <t xml:space="preserve">All purchase value excluded (fully returned quarter)</t>
  </si>
  <si>
    <t xml:space="preserve">Extreme edge case — net eligible = 0, should still calculate cleanly at Tier 1 (0%% rebate amount) without formula errors</t>
  </si>
  <si>
    <t xml:space="preserve">Note: UAT-10 is intentionally designed to test the &gt;15% boundary rule and is expected to show no Growth Bonus, matching Tier only.</t>
  </si>
  <si>
    <t xml:space="preserve">Result column formula compares 'Actual Tier % (calc)' against 'Expected Tier %' — a true independent validation, not a hardcoded PASS.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</si>
</sst>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4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3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customFormat="false" ht="28.35" hidden="false" customHeight="false" outlineLevel="0" collapsed="false">
      <c r="B6" s="4" t="s">
        <v>16</v>
      </c>
      <c r="C6" s="5" t="s">
        <v>17</v>
      </c>
      <c r="D6" s="6" t="n">
        <v>300000</v>
      </c>
      <c r="E6" s="6" t="n">
        <v>0</v>
      </c>
      <c r="F6" s="6" t="n">
        <v>0</v>
      </c>
      <c r="G6" s="6" t="n">
        <v>0</v>
      </c>
      <c r="H6" s="7" t="n">
        <f aca="false">D6-E6-F6-G6</f>
        <v>300000</v>
      </c>
      <c r="I6" s="6" t="n">
        <v>280000</v>
      </c>
      <c r="J6" s="8" t="n">
        <v>0.01</v>
      </c>
      <c r="K6" s="7" t="n">
        <f aca="false">H6*J6</f>
        <v>3000</v>
      </c>
      <c r="L6" s="8" t="n">
        <f aca="false">IF(H6&lt;=500000,0.01,IF(H6&lt;=1000000,0.02,0.03))</f>
        <v>0.01</v>
      </c>
      <c r="M6" s="7" t="n">
        <f aca="false">H6*L6</f>
        <v>3000</v>
      </c>
      <c r="N6" s="9" t="str">
        <f aca="false">IF(L6=J6,"PASS","FAIL")</f>
        <v>PASS</v>
      </c>
      <c r="O6" s="10" t="s">
        <v>18</v>
      </c>
    </row>
    <row r="7" customFormat="false" ht="32.8" hidden="false" customHeight="false" outlineLevel="0" collapsed="false">
      <c r="B7" s="4" t="s">
        <v>19</v>
      </c>
      <c r="C7" s="5" t="s">
        <v>20</v>
      </c>
      <c r="D7" s="6" t="n">
        <v>500000</v>
      </c>
      <c r="E7" s="6" t="n">
        <v>0</v>
      </c>
      <c r="F7" s="6" t="n">
        <v>0</v>
      </c>
      <c r="G7" s="6" t="n">
        <v>0</v>
      </c>
      <c r="H7" s="7" t="n">
        <f aca="false">D7-E7-F7-G7</f>
        <v>500000</v>
      </c>
      <c r="I7" s="6" t="n">
        <v>480000</v>
      </c>
      <c r="J7" s="8" t="n">
        <v>0.01</v>
      </c>
      <c r="K7" s="7" t="n">
        <f aca="false">H7*J7</f>
        <v>5000</v>
      </c>
      <c r="L7" s="8" t="n">
        <f aca="false">IF(H7&lt;=500000,0.01,IF(H7&lt;=1000000,0.02,0.03))</f>
        <v>0.01</v>
      </c>
      <c r="M7" s="7" t="n">
        <f aca="false">H7*L7</f>
        <v>5000</v>
      </c>
      <c r="N7" s="9" t="str">
        <f aca="false">IF(L7=J7,"PASS","FAIL")</f>
        <v>PASS</v>
      </c>
      <c r="O7" s="10" t="s">
        <v>21</v>
      </c>
    </row>
    <row r="8" customFormat="false" ht="22.35" hidden="false" customHeight="false" outlineLevel="0" collapsed="false">
      <c r="B8" s="4" t="s">
        <v>22</v>
      </c>
      <c r="C8" s="5" t="s">
        <v>23</v>
      </c>
      <c r="D8" s="6" t="n">
        <v>500001</v>
      </c>
      <c r="E8" s="6" t="n">
        <v>0</v>
      </c>
      <c r="F8" s="6" t="n">
        <v>0</v>
      </c>
      <c r="G8" s="6" t="n">
        <v>0</v>
      </c>
      <c r="H8" s="7" t="n">
        <f aca="false">D8-E8-F8-G8</f>
        <v>500001</v>
      </c>
      <c r="I8" s="6" t="n">
        <v>480000</v>
      </c>
      <c r="J8" s="8" t="n">
        <v>0.02</v>
      </c>
      <c r="K8" s="7" t="n">
        <f aca="false">H8*J8</f>
        <v>10000.02</v>
      </c>
      <c r="L8" s="8" t="n">
        <f aca="false">IF(H8&lt;=500000,0.01,IF(H8&lt;=1000000,0.02,0.03))</f>
        <v>0.02</v>
      </c>
      <c r="M8" s="7" t="n">
        <f aca="false">H8*L8</f>
        <v>10000.02</v>
      </c>
      <c r="N8" s="9" t="str">
        <f aca="false">IF(L8=J8,"PASS","FAIL")</f>
        <v>PASS</v>
      </c>
      <c r="O8" s="10" t="s">
        <v>24</v>
      </c>
    </row>
    <row r="9" customFormat="false" ht="28.35" hidden="false" customHeight="false" outlineLevel="0" collapsed="false">
      <c r="B9" s="4" t="s">
        <v>25</v>
      </c>
      <c r="C9" s="5" t="s">
        <v>26</v>
      </c>
      <c r="D9" s="6" t="n">
        <v>1000000</v>
      </c>
      <c r="E9" s="6" t="n">
        <v>0</v>
      </c>
      <c r="F9" s="6" t="n">
        <v>0</v>
      </c>
      <c r="G9" s="6" t="n">
        <v>0</v>
      </c>
      <c r="H9" s="7" t="n">
        <f aca="false">D9-E9-F9-G9</f>
        <v>1000000</v>
      </c>
      <c r="I9" s="6" t="n">
        <v>950000</v>
      </c>
      <c r="J9" s="8" t="n">
        <v>0.02</v>
      </c>
      <c r="K9" s="7" t="n">
        <f aca="false">H9*J9</f>
        <v>20000</v>
      </c>
      <c r="L9" s="8" t="n">
        <f aca="false">IF(H9&lt;=500000,0.01,IF(H9&lt;=1000000,0.02,0.03))</f>
        <v>0.02</v>
      </c>
      <c r="M9" s="7" t="n">
        <f aca="false">H9*L9</f>
        <v>20000</v>
      </c>
      <c r="N9" s="9" t="str">
        <f aca="false">IF(L9=J9,"PASS","FAIL")</f>
        <v>PASS</v>
      </c>
      <c r="O9" s="10" t="s">
        <v>27</v>
      </c>
    </row>
    <row r="10" customFormat="false" ht="22.35" hidden="false" customHeight="false" outlineLevel="0" collapsed="false">
      <c r="B10" s="4" t="s">
        <v>28</v>
      </c>
      <c r="C10" s="5" t="s">
        <v>29</v>
      </c>
      <c r="D10" s="6" t="n">
        <v>1500000</v>
      </c>
      <c r="E10" s="6" t="n">
        <v>0</v>
      </c>
      <c r="F10" s="6" t="n">
        <v>0</v>
      </c>
      <c r="G10" s="6" t="n">
        <v>0</v>
      </c>
      <c r="H10" s="7" t="n">
        <f aca="false">D10-E10-F10-G10</f>
        <v>1500000</v>
      </c>
      <c r="I10" s="6" t="n">
        <v>1200000</v>
      </c>
      <c r="J10" s="8" t="n">
        <v>0.03</v>
      </c>
      <c r="K10" s="7" t="n">
        <f aca="false">H10*J10</f>
        <v>45000</v>
      </c>
      <c r="L10" s="8" t="n">
        <f aca="false">IF(H10&lt;=500000,0.01,IF(H10&lt;=1000000,0.02,0.03))</f>
        <v>0.03</v>
      </c>
      <c r="M10" s="7" t="n">
        <f aca="false">H10*L10</f>
        <v>45000</v>
      </c>
      <c r="N10" s="9" t="str">
        <f aca="false">IF(L10=J10,"PASS","FAIL")</f>
        <v>PASS</v>
      </c>
      <c r="O10" s="10" t="s">
        <v>30</v>
      </c>
    </row>
    <row r="11" customFormat="false" ht="28.35" hidden="false" customHeight="false" outlineLevel="0" collapsed="false">
      <c r="B11" s="4" t="s">
        <v>31</v>
      </c>
      <c r="C11" s="5" t="s">
        <v>32</v>
      </c>
      <c r="D11" s="6" t="n">
        <v>550000</v>
      </c>
      <c r="E11" s="6" t="n">
        <v>60000</v>
      </c>
      <c r="F11" s="6" t="n">
        <v>0</v>
      </c>
      <c r="G11" s="6" t="n">
        <v>0</v>
      </c>
      <c r="H11" s="7" t="n">
        <f aca="false">D11-E11-F11-G11</f>
        <v>490000</v>
      </c>
      <c r="I11" s="6" t="n">
        <v>460000</v>
      </c>
      <c r="J11" s="8" t="n">
        <v>0.01</v>
      </c>
      <c r="K11" s="7" t="n">
        <f aca="false">H11*J11</f>
        <v>4900</v>
      </c>
      <c r="L11" s="8" t="n">
        <f aca="false">IF(H11&lt;=500000,0.01,IF(H11&lt;=1000000,0.02,0.03))</f>
        <v>0.01</v>
      </c>
      <c r="M11" s="7" t="n">
        <f aca="false">H11*L11</f>
        <v>4900</v>
      </c>
      <c r="N11" s="9" t="str">
        <f aca="false">IF(L11=J11,"PASS","FAIL")</f>
        <v>PASS</v>
      </c>
      <c r="O11" s="10" t="s">
        <v>33</v>
      </c>
    </row>
    <row r="12" customFormat="false" ht="28.35" hidden="false" customHeight="false" outlineLevel="0" collapsed="false">
      <c r="B12" s="4" t="s">
        <v>34</v>
      </c>
      <c r="C12" s="5" t="s">
        <v>35</v>
      </c>
      <c r="D12" s="6" t="n">
        <v>700000</v>
      </c>
      <c r="E12" s="6" t="n">
        <v>0</v>
      </c>
      <c r="F12" s="6" t="n">
        <v>250000</v>
      </c>
      <c r="G12" s="6" t="n">
        <v>0</v>
      </c>
      <c r="H12" s="7" t="n">
        <f aca="false">D12-E12-F12-G12</f>
        <v>450000</v>
      </c>
      <c r="I12" s="6" t="n">
        <v>500000</v>
      </c>
      <c r="J12" s="8" t="n">
        <v>0.01</v>
      </c>
      <c r="K12" s="7" t="n">
        <f aca="false">H12*J12</f>
        <v>4500</v>
      </c>
      <c r="L12" s="8" t="n">
        <f aca="false">IF(H12&lt;=500000,0.01,IF(H12&lt;=1000000,0.02,0.03))</f>
        <v>0.01</v>
      </c>
      <c r="M12" s="7" t="n">
        <f aca="false">H12*L12</f>
        <v>4500</v>
      </c>
      <c r="N12" s="9" t="str">
        <f aca="false">IF(L12=J12,"PASS","FAIL")</f>
        <v>PASS</v>
      </c>
      <c r="O12" s="10" t="s">
        <v>36</v>
      </c>
    </row>
    <row r="13" customFormat="false" ht="28.35" hidden="false" customHeight="false" outlineLevel="0" collapsed="false">
      <c r="B13" s="4" t="s">
        <v>37</v>
      </c>
      <c r="C13" s="5" t="s">
        <v>38</v>
      </c>
      <c r="D13" s="6" t="n">
        <v>620000</v>
      </c>
      <c r="E13" s="6" t="n">
        <v>0</v>
      </c>
      <c r="F13" s="6" t="n">
        <v>0</v>
      </c>
      <c r="G13" s="6" t="n">
        <v>130000</v>
      </c>
      <c r="H13" s="7" t="n">
        <f aca="false">D13-E13-F13-G13</f>
        <v>490000</v>
      </c>
      <c r="I13" s="6" t="n">
        <v>400000</v>
      </c>
      <c r="J13" s="8" t="n">
        <v>0.01</v>
      </c>
      <c r="K13" s="7" t="n">
        <f aca="false">H13*J13</f>
        <v>4900</v>
      </c>
      <c r="L13" s="8" t="n">
        <f aca="false">IF(H13&lt;=500000,0.01,IF(H13&lt;=1000000,0.02,0.03))</f>
        <v>0.01</v>
      </c>
      <c r="M13" s="7" t="n">
        <f aca="false">H13*L13</f>
        <v>4900</v>
      </c>
      <c r="N13" s="9" t="str">
        <f aca="false">IF(L13=J13,"PASS","FAIL")</f>
        <v>PASS</v>
      </c>
      <c r="O13" s="10" t="s">
        <v>39</v>
      </c>
    </row>
    <row r="14" customFormat="false" ht="64.15" hidden="false" customHeight="false" outlineLevel="0" collapsed="false">
      <c r="B14" s="4" t="s">
        <v>40</v>
      </c>
      <c r="C14" s="5" t="s">
        <v>41</v>
      </c>
      <c r="D14" s="6" t="n">
        <v>700000</v>
      </c>
      <c r="E14" s="6" t="n">
        <v>0</v>
      </c>
      <c r="F14" s="6" t="n">
        <v>0</v>
      </c>
      <c r="G14" s="6" t="n">
        <v>0</v>
      </c>
      <c r="H14" s="7" t="n">
        <f aca="false">D14-E14-F14-G14</f>
        <v>700000</v>
      </c>
      <c r="I14" s="6" t="n">
        <v>550000</v>
      </c>
      <c r="J14" s="8" t="n">
        <v>0.025</v>
      </c>
      <c r="K14" s="7" t="n">
        <f aca="false">H14*J14</f>
        <v>17500</v>
      </c>
      <c r="L14" s="8" t="n">
        <f aca="false">IF(H14&lt;=500000,0.01,IF(H14&lt;=1000000,0.02,0.03))</f>
        <v>0.02</v>
      </c>
      <c r="M14" s="7" t="n">
        <f aca="false">H14*L14</f>
        <v>14000</v>
      </c>
      <c r="N14" s="9" t="str">
        <f aca="false">IF(L14=J14,"PASS","FAIL")</f>
        <v>FAIL</v>
      </c>
      <c r="O14" s="10" t="s">
        <v>42</v>
      </c>
    </row>
    <row r="15" customFormat="false" ht="28.35" hidden="false" customHeight="false" outlineLevel="0" collapsed="false">
      <c r="B15" s="4" t="s">
        <v>43</v>
      </c>
      <c r="C15" s="5" t="s">
        <v>44</v>
      </c>
      <c r="D15" s="6" t="n">
        <v>575000</v>
      </c>
      <c r="E15" s="6" t="n">
        <v>0</v>
      </c>
      <c r="F15" s="6" t="n">
        <v>0</v>
      </c>
      <c r="G15" s="6" t="n">
        <v>0</v>
      </c>
      <c r="H15" s="7" t="n">
        <f aca="false">D15-E15-F15-G15</f>
        <v>575000</v>
      </c>
      <c r="I15" s="6" t="n">
        <v>500000</v>
      </c>
      <c r="J15" s="8" t="n">
        <v>0.02</v>
      </c>
      <c r="K15" s="7" t="n">
        <f aca="false">H15*J15</f>
        <v>11500</v>
      </c>
      <c r="L15" s="8" t="n">
        <f aca="false">IF(H15&lt;=500000,0.01,IF(H15&lt;=1000000,0.02,0.03))</f>
        <v>0.02</v>
      </c>
      <c r="M15" s="7" t="n">
        <f aca="false">H15*L15</f>
        <v>11500</v>
      </c>
      <c r="N15" s="9" t="str">
        <f aca="false">IF(L15=J15,"PASS","FAIL")</f>
        <v>PASS</v>
      </c>
      <c r="O15" s="10" t="s">
        <v>45</v>
      </c>
    </row>
    <row r="16" customFormat="false" ht="28.35" hidden="false" customHeight="false" outlineLevel="0" collapsed="false">
      <c r="B16" s="4" t="s">
        <v>46</v>
      </c>
      <c r="C16" s="5" t="s">
        <v>47</v>
      </c>
      <c r="D16" s="6" t="n">
        <v>400000</v>
      </c>
      <c r="E16" s="6" t="n">
        <v>0</v>
      </c>
      <c r="F16" s="6" t="n">
        <v>0</v>
      </c>
      <c r="G16" s="6" t="n">
        <v>0</v>
      </c>
      <c r="H16" s="7" t="n">
        <f aca="false">D16-E16-F16-G16</f>
        <v>400000</v>
      </c>
      <c r="I16" s="6" t="n">
        <v>600000</v>
      </c>
      <c r="J16" s="8" t="n">
        <v>0.01</v>
      </c>
      <c r="K16" s="7" t="n">
        <f aca="false">H16*J16</f>
        <v>4000</v>
      </c>
      <c r="L16" s="8" t="n">
        <f aca="false">IF(H16&lt;=500000,0.01,IF(H16&lt;=1000000,0.02,0.03))</f>
        <v>0.01</v>
      </c>
      <c r="M16" s="7" t="n">
        <f aca="false">H16*L16</f>
        <v>4000</v>
      </c>
      <c r="N16" s="9" t="str">
        <f aca="false">IF(L16=J16,"PASS","FAIL")</f>
        <v>PASS</v>
      </c>
      <c r="O16" s="10" t="s">
        <v>48</v>
      </c>
    </row>
    <row r="17" customFormat="false" ht="22.35" hidden="false" customHeight="false" outlineLevel="0" collapsed="false">
      <c r="B17" s="4" t="s">
        <v>49</v>
      </c>
      <c r="C17" s="5" t="s">
        <v>50</v>
      </c>
      <c r="D17" s="6" t="n">
        <v>600000</v>
      </c>
      <c r="E17" s="6" t="n">
        <v>0</v>
      </c>
      <c r="F17" s="6" t="n">
        <v>0</v>
      </c>
      <c r="G17" s="6" t="n">
        <v>0</v>
      </c>
      <c r="H17" s="7" t="n">
        <f aca="false">D17-E17-F17-G17</f>
        <v>600000</v>
      </c>
      <c r="I17" s="6" t="n">
        <v>0</v>
      </c>
      <c r="J17" s="8" t="n">
        <v>0.02</v>
      </c>
      <c r="K17" s="7" t="n">
        <f aca="false">H17*J17</f>
        <v>12000</v>
      </c>
      <c r="L17" s="8" t="n">
        <f aca="false">IF(H17&lt;=500000,0.01,IF(H17&lt;=1000000,0.02,0.03))</f>
        <v>0.02</v>
      </c>
      <c r="M17" s="7" t="n">
        <f aca="false">H17*L17</f>
        <v>12000</v>
      </c>
      <c r="N17" s="9" t="str">
        <f aca="false">IF(L17=J17,"PASS","FAIL")</f>
        <v>PASS</v>
      </c>
      <c r="O17" s="10" t="s">
        <v>51</v>
      </c>
    </row>
    <row r="18" customFormat="false" ht="32.8" hidden="false" customHeight="false" outlineLevel="0" collapsed="false">
      <c r="B18" s="4" t="s">
        <v>52</v>
      </c>
      <c r="C18" s="5" t="s">
        <v>53</v>
      </c>
      <c r="D18" s="6" t="n">
        <v>300000</v>
      </c>
      <c r="E18" s="6" t="n">
        <v>300000</v>
      </c>
      <c r="F18" s="6" t="n">
        <v>0</v>
      </c>
      <c r="G18" s="6" t="n">
        <v>0</v>
      </c>
      <c r="H18" s="7" t="n">
        <f aca="false">D18-E18-F18-G18</f>
        <v>0</v>
      </c>
      <c r="I18" s="6" t="n">
        <v>250000</v>
      </c>
      <c r="J18" s="8" t="n">
        <v>0.01</v>
      </c>
      <c r="K18" s="7" t="n">
        <f aca="false">H18*J18</f>
        <v>0</v>
      </c>
      <c r="L18" s="8" t="n">
        <f aca="false">IF(H18&lt;=500000,0.01,IF(H18&lt;=1000000,0.02,0.03))</f>
        <v>0.01</v>
      </c>
      <c r="M18" s="7" t="n">
        <f aca="false">H18*L18</f>
        <v>0</v>
      </c>
      <c r="N18" s="9" t="str">
        <f aca="false">IF(L18=J18,"PASS","FAIL")</f>
        <v>PASS</v>
      </c>
      <c r="O18" s="10" t="s">
        <v>54</v>
      </c>
    </row>
    <row r="20" customFormat="false" ht="15" hidden="false" customHeight="false" outlineLevel="0" collapsed="false">
      <c r="B20" s="11" t="s">
        <v>55</v>
      </c>
    </row>
    <row r="21" customFormat="false" ht="15" hidden="false" customHeight="false" outlineLevel="0" collapsed="false">
      <c r="B21" s="11" t="s">
        <v>56</v>
      </c>
    </row>
  </sheetData>
  <conditionalFormatting sqref="N6:N1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2026-07-12T11:52:26Z</dcterms:created>
  <dc:creator>openpyxl</dc:creator>
  <dc:description/>
  <dc:language>en-US</dc:language>
  <cp:lastModifiedBy/>
  <dcterms:modified xsi:type="dcterms:W3CDTF">2026-07-12T11:52:26Z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